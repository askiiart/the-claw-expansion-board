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<sst xmlns="http://schemas.openxmlformats.org/spreadsheetml/2006/main" count="74" uniqueCount="74">
  <si>
    <t xml:space="preserve">Item</t>
  </si>
  <si>
    <t xml:space="preserve">Price</t>
  </si>
  <si>
    <t xml:space="preserve">Quantity</t>
  </si>
  <si>
    <t xml:space="preserve">Link</t>
  </si>
  <si>
    <t xml:space="preserve">Total Cost</t>
  </si>
  <si>
    <t xml:space="preserve">Notes</t>
  </si>
  <si>
    <t xml:space="preserve">COS29752WU (LDO regulator)</t>
  </si>
  <si>
    <t xml:space="preserve">https://www.lcsc.com/product-detail/C41428569.html</t>
  </si>
  <si>
    <t xml:space="preserve">XD8574AP (I/O expander)</t>
  </si>
  <si>
    <t xml:space="preserve">https://www.lcsc.com/product-detail/C561268.html</t>
  </si>
  <si>
    <t xml:space="preserve">DB125-2.54-4P-GN-S (4P screw term)</t>
  </si>
  <si>
    <t xml:space="preserve">https://www.lcsc.com/product-detail/C918122.html</t>
  </si>
  <si>
    <t xml:space="preserve">DB125-2.54-3P-GN-S (3P screw term)</t>
  </si>
  <si>
    <t xml:space="preserve">https://www.lcsc.com/product-detail/C918121.html</t>
  </si>
  <si>
    <t xml:space="preserve">MS50N06 (50A NMOS)</t>
  </si>
  <si>
    <t xml:space="preserve">https://www.lcsc.com/product-detail/C2902884.html</t>
  </si>
  <si>
    <t xml:space="preserve">AO3400A (5.8A NMOS)</t>
  </si>
  <si>
    <t xml:space="preserve">https://www.lcsc.com/product-detail/C347475.html</t>
  </si>
  <si>
    <t xml:space="preserve">BSS84 (PMOS)</t>
  </si>
  <si>
    <t xml:space="preserve">https://www.lcsc.com/product-detail/C50386320.html</t>
  </si>
  <si>
    <t xml:space="preserve">PZ254-3-03-Z-2.5-G0 (3x3 pins)</t>
  </si>
  <si>
    <t xml:space="preserve">https://www.lcsc.com/product-detail/C7429377.html</t>
  </si>
  <si>
    <t xml:space="preserve">XT30PW-F20.G.Y (XT30 headers)</t>
  </si>
  <si>
    <t xml:space="preserve">https://www.lcsc.com/product-detail/C2913282.html</t>
  </si>
  <si>
    <t xml:space="preserve">XT60PW-F (XT60 headers)</t>
  </si>
  <si>
    <t xml:space="preserve">https://www.lcsc.com/product-detail/C428722.html</t>
  </si>
  <si>
    <t xml:space="preserve">S3B-XH-A(LF)(SN) (XH 3P R/A)</t>
  </si>
  <si>
    <t xml:space="preserve">https://www.lcsc.com/product-detail/C157928.html</t>
  </si>
  <si>
    <t xml:space="preserve">S4B-XH-A-1(LF)(SN) (XH 4P R/A)</t>
  </si>
  <si>
    <t xml:space="preserve">https://www.lcsc.com/product-detail/C157925.html</t>
  </si>
  <si>
    <t xml:space="preserve">SM12B-ZPDSS-TF(LF)(SN) (ZPD 12P R/A)</t>
  </si>
  <si>
    <t xml:space="preserve">https://www.lcsc.com/product-detail/C265342.html</t>
  </si>
  <si>
    <t xml:space="preserve">ZPDR-12V-S (ZPD 12P housing)</t>
  </si>
  <si>
    <t xml:space="preserve">https://www.lcsc.com/product-detail/C566944.html</t>
  </si>
  <si>
    <t xml:space="preserve">HC-ZHD-T-05 (ZPD crimps)</t>
  </si>
  <si>
    <t xml:space="preserve">https://www.lcsc.com/product-detail/C20539070.html</t>
  </si>
  <si>
    <t xml:space="preserve">JST XHP-3 (XH 3P housing)</t>
  </si>
  <si>
    <t xml:space="preserve">https://www.lcsc.com/product-detail/C144402.html</t>
  </si>
  <si>
    <t xml:space="preserve">JST XHP-4 (XH 4P housing)</t>
  </si>
  <si>
    <t xml:space="preserve">https://www.lcsc.com/product-detail/C144403.html</t>
  </si>
  <si>
    <t xml:space="preserve">ZX-XH2.54-DZ (XH crimps)</t>
  </si>
  <si>
    <t xml:space="preserve">https://www.lcsc.com/product-detail/C7462731.html</t>
  </si>
  <si>
    <t xml:space="preserve">B3B-XH-A(LF)(SN) (XH 3P vertical)</t>
  </si>
  <si>
    <t xml:space="preserve">https://www.lcsc.com/product-detail/C144394.html</t>
  </si>
  <si>
    <t xml:space="preserve">ERJ1EM680E09OT (68uF caps)</t>
  </si>
  <si>
    <t xml:space="preserve">https://www.lcsc.com/product-detail/C106558.html</t>
  </si>
  <si>
    <t xml:space="preserve">MUST be aluminum electrolytic caps, do NOT replace with ceramic</t>
  </si>
  <si>
    <t xml:space="preserve">178MU0006 (0.1uF caps)</t>
  </si>
  <si>
    <t xml:space="preserve">https://www.lcsc.com/product-detail/C5632430.html</t>
  </si>
  <si>
    <t xml:space="preserve">MF1/4W-10K±1%-ST52 (10k resistor)</t>
  </si>
  <si>
    <t xml:space="preserve">https://www.lcsc.com/product-detail/C2903232.html</t>
  </si>
  <si>
    <t xml:space="preserve">All resistors are highly accurate due to setting LDO regulators</t>
  </si>
  <si>
    <t xml:space="preserve">MF1/4W-8K2±1%-ST52 (8.2k resistor)</t>
  </si>
  <si>
    <t xml:space="preserve">https://www.lcsc.com/product-detail/C2848599.html</t>
  </si>
  <si>
    <t xml:space="preserve">MF1/8W-3K3±1%-ST52 (3.3k resistor)</t>
  </si>
  <si>
    <t xml:space="preserve">https://www.lcsc.com/product-detail/C2903352.html</t>
  </si>
  <si>
    <t xml:space="preserve">MF1/4W-1K±1%-ST52 (1k resistor)</t>
  </si>
  <si>
    <t xml:space="preserve">https://www.lcsc.com/product-detail/C2903245.html</t>
  </si>
  <si>
    <t xml:space="preserve">MF1/4W-470Ω±1% T (470 resistor)</t>
  </si>
  <si>
    <t xml:space="preserve">https://www.lcsc.com/product-detail/C119317.html</t>
  </si>
  <si>
    <t xml:space="preserve">1N4148TR (diode)</t>
  </si>
  <si>
    <t xml:space="preserve">https://www.lcsc.com/product-detail/C84410.html</t>
  </si>
  <si>
    <t xml:space="preserve">2.54mm jumpers</t>
  </si>
  <si>
    <t xml:space="preserve">https://www.lcsc.com/product-detail/C2998928.html</t>
  </si>
  <si>
    <t xml:space="preserve">Temperature sensor</t>
  </si>
  <si>
    <t xml:space="preserve">https://www.lcsc.com/product-detail/C31810.html</t>
  </si>
  <si>
    <t xml:space="preserve">9733 24V fan</t>
  </si>
  <si>
    <t xml:space="preserve">https://www.aliexpress.us/item/3256804645826698.html</t>
  </si>
  <si>
    <t xml:space="preserve">Wire crimping tool</t>
  </si>
  <si>
    <t xml:space="preserve">https://www.amazon.com/Crimping-Amliber-Connectors-Electrical-Terminals/dp/B0D1FR76Q7</t>
  </si>
  <si>
    <t xml:space="preserve">Subtotal</t>
  </si>
  <si>
    <t xml:space="preserve">JLCPCB</t>
  </si>
  <si>
    <t xml:space="preserve">LCSC shipping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</si>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</sst>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$-409]#,##0.00;[RED]\-[$$-409]#,##0.00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FF"/>
      <name val="Arial"/>
      <family val="2"/>
      <charset val="1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lcsc.com/product-detail/C561268.html" TargetMode="External"/><Relationship Id="rId2" Type="http://schemas.openxmlformats.org/officeDocument/2006/relationships/hyperlink" Target="https://www.lcsc.com/product-detail/C2913282.html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5" activeCellId="0" sqref="D5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38.67"/>
    <col collapsed="false" customWidth="true" hidden="false" outlineLevel="0" max="6" min="6" style="1" width="64.83"/>
    <col collapsed="false" customWidth="true" hidden="false" outlineLevel="0" max="7" min="7" style="1" width="17.11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2.8" hidden="false" customHeight="false" outlineLevel="0" collapsed="false">
      <c r="A2" s="1" t="s">
        <v>6</v>
      </c>
      <c r="B2" s="2" t="n">
        <v>2.1</v>
      </c>
      <c r="C2" s="1" t="n">
        <v>2</v>
      </c>
      <c r="D2" s="1" t="s">
        <v>7</v>
      </c>
      <c r="E2" s="2" t="n">
        <f aca="false">B2*C2</f>
        <v>4.2</v>
      </c>
    </row>
    <row r="3" customFormat="false" ht="12.8" hidden="false" customHeight="false" outlineLevel="0" collapsed="false">
      <c r="A3" s="1" t="s">
        <v>8</v>
      </c>
      <c r="B3" s="2" t="n">
        <v>0.57</v>
      </c>
      <c r="C3" s="1" t="n">
        <v>1</v>
      </c>
      <c r="D3" s="3" t="s">
        <v>9</v>
      </c>
      <c r="E3" s="2" t="n">
        <f aca="false">B3*C3</f>
        <v>0.57</v>
      </c>
    </row>
    <row r="4" customFormat="false" ht="12.8" hidden="false" customHeight="false" outlineLevel="0" collapsed="false">
      <c r="A4" s="1" t="s">
        <v>10</v>
      </c>
      <c r="B4" s="2" t="n">
        <v>0.4</v>
      </c>
      <c r="C4" s="1" t="n">
        <v>2</v>
      </c>
      <c r="D4" s="1" t="s">
        <v>11</v>
      </c>
      <c r="E4" s="2" t="n">
        <f aca="false">B4*C4</f>
        <v>0.8</v>
      </c>
    </row>
    <row r="5" customFormat="false" ht="12.8" hidden="false" customHeight="false" outlineLevel="0" collapsed="false">
      <c r="A5" s="1" t="s">
        <v>12</v>
      </c>
      <c r="B5" s="2" t="n">
        <v>0.3347</v>
      </c>
      <c r="C5" s="1" t="n">
        <v>1</v>
      </c>
      <c r="D5" s="1" t="s">
        <v>13</v>
      </c>
      <c r="E5" s="2" t="n">
        <v>1.67</v>
      </c>
    </row>
    <row r="6" customFormat="false" ht="12.8" hidden="false" customHeight="false" outlineLevel="0" collapsed="false">
      <c r="A6" s="1" t="s">
        <v>14</v>
      </c>
      <c r="B6" s="2" t="n">
        <v>0.1132</v>
      </c>
      <c r="C6" s="1" t="n">
        <v>4</v>
      </c>
      <c r="D6" s="1" t="s">
        <v>15</v>
      </c>
      <c r="E6" s="2" t="n">
        <v>0.57</v>
      </c>
    </row>
    <row r="7" customFormat="false" ht="12.8" hidden="false" customHeight="false" outlineLevel="0" collapsed="false">
      <c r="A7" s="1" t="s">
        <v>16</v>
      </c>
      <c r="B7" s="2" t="n">
        <v>0.0326</v>
      </c>
      <c r="C7" s="1" t="n">
        <v>1</v>
      </c>
      <c r="D7" s="1" t="s">
        <v>17</v>
      </c>
      <c r="E7" s="2" t="n">
        <v>0.65</v>
      </c>
    </row>
    <row r="8" customFormat="false" ht="12.8" hidden="false" customHeight="false" outlineLevel="0" collapsed="false">
      <c r="A8" s="1" t="s">
        <v>18</v>
      </c>
      <c r="B8" s="2" t="n">
        <v>0.011</v>
      </c>
      <c r="C8" s="1" t="n">
        <v>1</v>
      </c>
      <c r="D8" s="1" t="s">
        <v>19</v>
      </c>
      <c r="E8" s="2" t="n">
        <v>0.55</v>
      </c>
    </row>
    <row r="9" customFormat="false" ht="12.8" hidden="false" customHeight="false" outlineLevel="0" collapsed="false">
      <c r="A9" s="1" t="s">
        <v>20</v>
      </c>
      <c r="B9" s="2" t="n">
        <v>0.205</v>
      </c>
      <c r="C9" s="1" t="n">
        <v>1</v>
      </c>
      <c r="D9" s="1" t="s">
        <v>21</v>
      </c>
      <c r="E9" s="2" t="n">
        <v>1.03</v>
      </c>
    </row>
    <row r="10" customFormat="false" ht="12.8" hidden="false" customHeight="false" outlineLevel="0" collapsed="false">
      <c r="A10" s="1" t="s">
        <v>22</v>
      </c>
      <c r="B10" s="2" t="n">
        <v>0.3345</v>
      </c>
      <c r="C10" s="1" t="n">
        <v>3</v>
      </c>
      <c r="D10" s="3" t="s">
        <v>23</v>
      </c>
      <c r="E10" s="2" t="n">
        <f aca="false">B10*C10</f>
        <v>1.0035</v>
      </c>
    </row>
    <row r="11" customFormat="false" ht="12.8" hidden="false" customHeight="false" outlineLevel="0" collapsed="false">
      <c r="A11" s="1" t="s">
        <v>24</v>
      </c>
      <c r="B11" s="2" t="n">
        <v>0.5489</v>
      </c>
      <c r="C11" s="1" t="n">
        <v>2</v>
      </c>
      <c r="D11" s="1" t="s">
        <v>25</v>
      </c>
      <c r="E11" s="2" t="n">
        <f aca="false">B11*C11</f>
        <v>1.0978</v>
      </c>
    </row>
    <row r="12" customFormat="false" ht="12.8" hidden="false" customHeight="false" outlineLevel="0" collapsed="false">
      <c r="A12" s="1" t="s">
        <v>26</v>
      </c>
      <c r="B12" s="2" t="n">
        <v>0.0915</v>
      </c>
      <c r="C12" s="1" t="n">
        <v>1</v>
      </c>
      <c r="D12" s="1" t="s">
        <v>27</v>
      </c>
      <c r="E12" s="2" t="n">
        <v>0.92</v>
      </c>
    </row>
    <row r="13" customFormat="false" ht="12.8" hidden="false" customHeight="false" outlineLevel="0" collapsed="false">
      <c r="A13" s="1" t="s">
        <v>28</v>
      </c>
      <c r="B13" s="2" t="n">
        <v>0.153</v>
      </c>
      <c r="C13" s="1" t="n">
        <v>2</v>
      </c>
      <c r="D13" s="1" t="s">
        <v>29</v>
      </c>
      <c r="E13" s="2" t="n">
        <v>0.77</v>
      </c>
    </row>
    <row r="14" customFormat="false" ht="12.8" hidden="false" customHeight="false" outlineLevel="0" collapsed="false">
      <c r="A14" s="1" t="s">
        <v>30</v>
      </c>
      <c r="B14" s="2" t="n">
        <v>0.8048</v>
      </c>
      <c r="C14" s="1" t="n">
        <v>1</v>
      </c>
      <c r="D14" s="1" t="s">
        <v>31</v>
      </c>
      <c r="E14" s="2" t="n">
        <f aca="false">B14*C14</f>
        <v>0.8048</v>
      </c>
    </row>
    <row r="15" customFormat="false" ht="12.8" hidden="false" customHeight="false" outlineLevel="0" collapsed="false">
      <c r="A15" s="1" t="s">
        <v>32</v>
      </c>
      <c r="B15" s="2" t="n">
        <v>0.3364</v>
      </c>
      <c r="C15" s="1" t="n">
        <v>1</v>
      </c>
      <c r="D15" s="1" t="s">
        <v>33</v>
      </c>
      <c r="E15" s="2" t="n">
        <v>1.68</v>
      </c>
    </row>
    <row r="16" customFormat="false" ht="12.8" hidden="false" customHeight="false" outlineLevel="0" collapsed="false">
      <c r="A16" s="1" t="s">
        <v>34</v>
      </c>
      <c r="B16" s="2" t="n">
        <v>0.0191</v>
      </c>
      <c r="C16" s="1" t="n">
        <v>12</v>
      </c>
      <c r="D16" s="1" t="s">
        <v>35</v>
      </c>
      <c r="E16" s="2" t="n">
        <v>0.96</v>
      </c>
    </row>
    <row r="17" customFormat="false" ht="12.8" hidden="false" customHeight="false" outlineLevel="0" collapsed="false">
      <c r="A17" s="1" t="s">
        <v>36</v>
      </c>
      <c r="B17" s="2" t="n">
        <v>0.0232</v>
      </c>
      <c r="C17" s="1" t="n">
        <v>2</v>
      </c>
      <c r="D17" s="1" t="s">
        <v>37</v>
      </c>
      <c r="E17" s="2" t="n">
        <v>0.46</v>
      </c>
    </row>
    <row r="18" customFormat="false" ht="12.8" hidden="false" customHeight="false" outlineLevel="0" collapsed="false">
      <c r="A18" s="1" t="s">
        <v>38</v>
      </c>
      <c r="B18" s="2" t="n">
        <v>0.0225</v>
      </c>
      <c r="C18" s="1" t="n">
        <v>2</v>
      </c>
      <c r="D18" s="1" t="s">
        <v>39</v>
      </c>
      <c r="E18" s="2" t="n">
        <v>0.45</v>
      </c>
    </row>
    <row r="19" customFormat="false" ht="12.8" hidden="false" customHeight="false" outlineLevel="0" collapsed="false">
      <c r="A19" s="1" t="s">
        <v>40</v>
      </c>
      <c r="B19" s="2" t="n">
        <v>0.0083</v>
      </c>
      <c r="C19" s="1" t="n">
        <v>14</v>
      </c>
      <c r="D19" s="1" t="s">
        <v>41</v>
      </c>
      <c r="E19" s="2" t="n">
        <v>0.42</v>
      </c>
    </row>
    <row r="20" customFormat="false" ht="12.8" hidden="false" customHeight="false" outlineLevel="0" collapsed="false">
      <c r="A20" s="1" t="s">
        <v>42</v>
      </c>
      <c r="B20" s="2" t="n">
        <v>0.0538</v>
      </c>
      <c r="C20" s="1" t="n">
        <v>1</v>
      </c>
      <c r="D20" s="1" t="s">
        <v>43</v>
      </c>
      <c r="E20" s="2" t="n">
        <v>0.54</v>
      </c>
    </row>
    <row r="21" customFormat="false" ht="12.8" hidden="false" customHeight="false" outlineLevel="0" collapsed="false">
      <c r="A21" s="1" t="s">
        <v>44</v>
      </c>
      <c r="B21" s="2" t="n">
        <v>0.0334</v>
      </c>
      <c r="C21" s="1" t="n">
        <v>4</v>
      </c>
      <c r="D21" s="1" t="s">
        <v>45</v>
      </c>
      <c r="E21" s="2" t="n">
        <v>0.67</v>
      </c>
      <c r="F21" s="1" t="s">
        <v>46</v>
      </c>
    </row>
    <row r="22" customFormat="false" ht="12.8" hidden="false" customHeight="false" outlineLevel="0" collapsed="false">
      <c r="A22" s="1" t="s">
        <v>47</v>
      </c>
      <c r="B22" s="2" t="n">
        <v>0.0137</v>
      </c>
      <c r="C22" s="1" t="n">
        <v>2</v>
      </c>
      <c r="D22" s="1" t="s">
        <v>48</v>
      </c>
      <c r="E22" s="2" t="n">
        <v>0.69</v>
      </c>
    </row>
    <row r="23" customFormat="false" ht="12.8" hidden="false" customHeight="false" outlineLevel="0" collapsed="false">
      <c r="A23" s="1" t="s">
        <v>49</v>
      </c>
      <c r="B23" s="2" t="n">
        <v>0.0059</v>
      </c>
      <c r="C23" s="1" t="n">
        <v>7</v>
      </c>
      <c r="D23" s="1" t="s">
        <v>50</v>
      </c>
      <c r="E23" s="2" t="n">
        <v>0.59</v>
      </c>
      <c r="F23" s="4" t="s">
        <v>51</v>
      </c>
    </row>
    <row r="24" customFormat="false" ht="12.8" hidden="false" customHeight="false" outlineLevel="0" collapsed="false">
      <c r="A24" s="1" t="s">
        <v>52</v>
      </c>
      <c r="B24" s="2" t="n">
        <v>0.0049</v>
      </c>
      <c r="C24" s="1" t="n">
        <v>1</v>
      </c>
      <c r="D24" s="1" t="s">
        <v>53</v>
      </c>
      <c r="E24" s="2" t="n">
        <v>0.49</v>
      </c>
    </row>
    <row r="25" customFormat="false" ht="12.8" hidden="false" customHeight="false" outlineLevel="0" collapsed="false">
      <c r="A25" s="1" t="s">
        <v>54</v>
      </c>
      <c r="B25" s="2" t="n">
        <v>0.005</v>
      </c>
      <c r="C25" s="1" t="n">
        <v>1</v>
      </c>
      <c r="D25" s="1" t="s">
        <v>55</v>
      </c>
      <c r="E25" s="2" t="n">
        <v>0.5</v>
      </c>
    </row>
    <row r="26" customFormat="false" ht="12.8" hidden="false" customHeight="false" outlineLevel="0" collapsed="false">
      <c r="A26" s="1" t="s">
        <v>56</v>
      </c>
      <c r="B26" s="2" t="n">
        <v>0.0056</v>
      </c>
      <c r="C26" s="1" t="n">
        <v>1</v>
      </c>
      <c r="D26" s="1" t="s">
        <v>57</v>
      </c>
      <c r="E26" s="2" t="n">
        <v>0.56</v>
      </c>
    </row>
    <row r="27" customFormat="false" ht="12.8" hidden="false" customHeight="false" outlineLevel="0" collapsed="false">
      <c r="A27" s="1" t="s">
        <v>58</v>
      </c>
      <c r="B27" s="2" t="n">
        <v>0.0115</v>
      </c>
      <c r="C27" s="1" t="n">
        <v>1</v>
      </c>
      <c r="D27" s="1" t="s">
        <v>59</v>
      </c>
      <c r="E27" s="2" t="n">
        <v>0.58</v>
      </c>
    </row>
    <row r="28" customFormat="false" ht="12.8" hidden="false" customHeight="false" outlineLevel="0" collapsed="false">
      <c r="A28" s="1" t="s">
        <v>60</v>
      </c>
      <c r="B28" s="2" t="n">
        <v>0.0159</v>
      </c>
      <c r="C28" s="1" t="n">
        <v>1</v>
      </c>
      <c r="D28" s="1" t="s">
        <v>61</v>
      </c>
      <c r="E28" s="2" t="n">
        <v>0.8</v>
      </c>
    </row>
    <row r="29" customFormat="false" ht="12.8" hidden="false" customHeight="false" outlineLevel="0" collapsed="false">
      <c r="A29" s="1" t="s">
        <v>62</v>
      </c>
      <c r="B29" s="2" t="n">
        <v>0.0087</v>
      </c>
      <c r="C29" s="1" t="n">
        <v>4</v>
      </c>
      <c r="D29" s="1" t="s">
        <v>63</v>
      </c>
      <c r="E29" s="2" t="n">
        <v>0.44</v>
      </c>
    </row>
    <row r="30" customFormat="false" ht="12.8" hidden="false" customHeight="false" outlineLevel="0" collapsed="false">
      <c r="A30" s="1" t="s">
        <v>64</v>
      </c>
      <c r="B30" s="2" t="n">
        <v>0.4561</v>
      </c>
      <c r="C30" s="1" t="n">
        <v>1</v>
      </c>
      <c r="D30" s="1" t="s">
        <v>65</v>
      </c>
      <c r="E30" s="2" t="n">
        <v>0.46</v>
      </c>
    </row>
    <row r="31" customFormat="false" ht="12.8" hidden="false" customHeight="false" outlineLevel="0" collapsed="false">
      <c r="A31" s="1" t="s">
        <v>66</v>
      </c>
      <c r="B31" s="2" t="n">
        <v>6.39</v>
      </c>
      <c r="C31" s="1" t="n">
        <v>1</v>
      </c>
      <c r="D31" s="1" t="s">
        <v>67</v>
      </c>
      <c r="E31" s="2" t="n">
        <v>6.39</v>
      </c>
    </row>
    <row r="32" customFormat="false" ht="12.8" hidden="false" customHeight="false" outlineLevel="0" collapsed="false">
      <c r="A32" s="1" t="s">
        <v>68</v>
      </c>
      <c r="B32" s="2" t="n">
        <v>15.99</v>
      </c>
      <c r="C32" s="1" t="n">
        <v>1</v>
      </c>
      <c r="D32" s="1" t="s">
        <v>69</v>
      </c>
      <c r="E32" s="2" t="n">
        <v>15.99</v>
      </c>
    </row>
    <row r="33" customFormat="false" ht="12.8" hidden="false" customHeight="false" outlineLevel="0" collapsed="false">
      <c r="B33" s="2"/>
      <c r="E33" s="2"/>
    </row>
    <row r="34" customFormat="false" ht="12.8" hidden="false" customHeight="false" outlineLevel="0" collapsed="false">
      <c r="A34" s="1" t="s">
        <v>70</v>
      </c>
      <c r="E34" s="2" t="n">
        <f aca="false">SUM(E2:E32)</f>
        <v>47.3061</v>
      </c>
    </row>
    <row r="36" customFormat="false" ht="12.8" hidden="false" customHeight="false" outlineLevel="0" collapsed="false">
      <c r="A36" s="1" t="s">
        <v>71</v>
      </c>
      <c r="E36" s="2" t="n">
        <v>5.3</v>
      </c>
    </row>
    <row r="37" customFormat="false" ht="12.8" hidden="false" customHeight="false" outlineLevel="0" collapsed="false">
      <c r="A37" s="1" t="s">
        <v>72</v>
      </c>
      <c r="E37" s="2" t="n">
        <v>14.56</v>
      </c>
    </row>
    <row r="39" customFormat="false" ht="12.8" hidden="false" customHeight="false" outlineLevel="0" collapsed="false">
      <c r="A39" s="1" t="s">
        <v>73</v>
      </c>
      <c r="E39" s="2" t="n">
        <f aca="false">SUM(E34:E37)*1.0825</f>
        <v>72.70730325</v>
      </c>
    </row>
  </sheetData>
  <hyperlinks>
    <hyperlink ref="D3" r:id="rId1" display="https://www.lcsc.com/product-detail/C561268.html"/>
    <hyperlink ref="D10" r:id="rId2" display="https://www.lcsc.com/product-detail/C2913282.html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141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2026-03-20T21:53:21Z</dcterms:created>
  <dc:creator/>
  <dc:description/>
  <dc:language>en-US</dc:language>
  <cp:lastModifiedBy/>
  <dcterms:modified xsi:type="dcterms:W3CDTF">2026-03-21T16:43:24Z</dcterms:modified>
  <cp:revision>75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